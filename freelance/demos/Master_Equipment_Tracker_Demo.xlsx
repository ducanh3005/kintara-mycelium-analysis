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stics_Config" sheetId="1" state="visible" r:id="rId1"/>
    <sheet xmlns:r="http://schemas.openxmlformats.org/officeDocument/2006/relationships" name="Master_Equipment_Tracker" sheetId="2" state="visible" r:id="rId2"/>
    <sheet xmlns:r="http://schemas.openxmlformats.org/officeDocument/2006/relationships" name="Container_Vehicl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>
      <c r="A1" s="1" t="inlineStr">
        <is>
          <t>Storage_Location_12</t>
        </is>
      </c>
      <c r="B1" s="1" t="inlineStr">
        <is>
          <t>Travel_Destination_6</t>
        </is>
      </c>
      <c r="C1" s="1" t="inlineStr">
        <is>
          <t>Container_ID</t>
        </is>
      </c>
      <c r="D1" s="1" t="inlineStr">
        <is>
          <t>Container_Serial_Number</t>
        </is>
      </c>
      <c r="E1" s="1" t="inlineStr">
        <is>
          <t>Vehicle_ID_12</t>
        </is>
      </c>
      <c r="F1" s="1" t="inlineStr">
        <is>
          <t>Vehicle_Number_Plate</t>
        </is>
      </c>
    </row>
    <row r="2">
      <c r="A2" t="inlineStr">
        <is>
          <t>Storage Location #01 (Warehouse Bay 1)</t>
        </is>
      </c>
      <c r="B2" t="inlineStr">
        <is>
          <t>Travel Site #01</t>
        </is>
      </c>
      <c r="C2" t="inlineStr">
        <is>
          <t>CONTAINER-01</t>
        </is>
      </c>
      <c r="D2" t="inlineStr">
        <is>
          <t>SN-CONT-2026-1001</t>
        </is>
      </c>
      <c r="E2" t="inlineStr">
        <is>
          <t>VEHICLE-01</t>
        </is>
      </c>
      <c r="F2" t="inlineStr">
        <is>
          <t>VEH-PLATE-201</t>
        </is>
      </c>
    </row>
    <row r="3">
      <c r="A3" t="inlineStr">
        <is>
          <t>Storage Location #02 (Warehouse Bay 2)</t>
        </is>
      </c>
      <c r="B3" t="inlineStr">
        <is>
          <t>Travel Site #02</t>
        </is>
      </c>
      <c r="C3" t="inlineStr">
        <is>
          <t>CONTAINER-02</t>
        </is>
      </c>
      <c r="D3" t="inlineStr">
        <is>
          <t>SN-CONT-2026-1002</t>
        </is>
      </c>
      <c r="E3" t="inlineStr">
        <is>
          <t>VEHICLE-02</t>
        </is>
      </c>
      <c r="F3" t="inlineStr">
        <is>
          <t>VEH-PLATE-202</t>
        </is>
      </c>
    </row>
    <row r="4">
      <c r="A4" t="inlineStr">
        <is>
          <t>Storage Location #03 (Warehouse Bay 3)</t>
        </is>
      </c>
      <c r="B4" t="inlineStr">
        <is>
          <t>Travel Site #03</t>
        </is>
      </c>
      <c r="C4" t="inlineStr">
        <is>
          <t>CONTAINER-03</t>
        </is>
      </c>
      <c r="D4" t="inlineStr">
        <is>
          <t>SN-CONT-2026-1003</t>
        </is>
      </c>
      <c r="E4" t="inlineStr">
        <is>
          <t>VEHICLE-03</t>
        </is>
      </c>
      <c r="F4" t="inlineStr">
        <is>
          <t>VEH-PLATE-203</t>
        </is>
      </c>
    </row>
    <row r="5">
      <c r="A5" t="inlineStr">
        <is>
          <t>Storage Location #04 (Warehouse Bay 4)</t>
        </is>
      </c>
      <c r="B5" t="inlineStr">
        <is>
          <t>Travel Site #04</t>
        </is>
      </c>
      <c r="C5" t="inlineStr">
        <is>
          <t>CONTAINER-04</t>
        </is>
      </c>
      <c r="D5" t="inlineStr">
        <is>
          <t>SN-CONT-2026-1004</t>
        </is>
      </c>
      <c r="E5" t="inlineStr">
        <is>
          <t>VEHICLE-04</t>
        </is>
      </c>
      <c r="F5" t="inlineStr">
        <is>
          <t>VEH-PLATE-204</t>
        </is>
      </c>
    </row>
    <row r="6">
      <c r="A6" t="inlineStr">
        <is>
          <t>Storage Location #05 (Warehouse Bay 5)</t>
        </is>
      </c>
      <c r="B6" t="inlineStr">
        <is>
          <t>Travel Site #05</t>
        </is>
      </c>
      <c r="C6" t="inlineStr">
        <is>
          <t>CONTAINER-05</t>
        </is>
      </c>
      <c r="D6" t="inlineStr">
        <is>
          <t>SN-CONT-2026-1005</t>
        </is>
      </c>
      <c r="E6" t="inlineStr">
        <is>
          <t>VEHICLE-05</t>
        </is>
      </c>
      <c r="F6" t="inlineStr">
        <is>
          <t>VEH-PLATE-205</t>
        </is>
      </c>
    </row>
    <row r="7">
      <c r="A7" t="inlineStr">
        <is>
          <t>Storage Location #06 (Warehouse Bay 6)</t>
        </is>
      </c>
      <c r="B7" t="inlineStr">
        <is>
          <t>Travel Site #06</t>
        </is>
      </c>
      <c r="C7" t="inlineStr">
        <is>
          <t>CONTAINER-06</t>
        </is>
      </c>
      <c r="D7" t="inlineStr">
        <is>
          <t>SN-CONT-2026-1006</t>
        </is>
      </c>
      <c r="E7" t="inlineStr">
        <is>
          <t>VEHICLE-06</t>
        </is>
      </c>
      <c r="F7" t="inlineStr">
        <is>
          <t>VEH-PLATE-206</t>
        </is>
      </c>
    </row>
    <row r="8">
      <c r="A8" t="inlineStr">
        <is>
          <t>Storage Location #07 (Warehouse Bay 7)</t>
        </is>
      </c>
      <c r="B8" t="inlineStr"/>
      <c r="C8" t="inlineStr"/>
      <c r="D8" t="inlineStr"/>
      <c r="E8" t="inlineStr">
        <is>
          <t>VEHICLE-07</t>
        </is>
      </c>
      <c r="F8" t="inlineStr">
        <is>
          <t>VEH-PLATE-207</t>
        </is>
      </c>
    </row>
    <row r="9">
      <c r="A9" t="inlineStr">
        <is>
          <t>Storage Location #08 (Warehouse Bay 8)</t>
        </is>
      </c>
      <c r="B9" t="inlineStr"/>
      <c r="C9" t="inlineStr"/>
      <c r="D9" t="inlineStr"/>
      <c r="E9" t="inlineStr">
        <is>
          <t>VEHICLE-08</t>
        </is>
      </c>
      <c r="F9" t="inlineStr">
        <is>
          <t>VEH-PLATE-208</t>
        </is>
      </c>
    </row>
    <row r="10">
      <c r="A10" t="inlineStr">
        <is>
          <t>Storage Location #09 (Warehouse Bay 9)</t>
        </is>
      </c>
      <c r="B10" t="inlineStr"/>
      <c r="C10" t="inlineStr"/>
      <c r="D10" t="inlineStr"/>
      <c r="E10" t="inlineStr">
        <is>
          <t>VEHICLE-09</t>
        </is>
      </c>
      <c r="F10" t="inlineStr">
        <is>
          <t>VEH-PLATE-209</t>
        </is>
      </c>
    </row>
    <row r="11">
      <c r="A11" t="inlineStr">
        <is>
          <t>Storage Location #10 (Warehouse Bay 10)</t>
        </is>
      </c>
      <c r="B11" t="inlineStr"/>
      <c r="C11" t="inlineStr"/>
      <c r="D11" t="inlineStr"/>
      <c r="E11" t="inlineStr">
        <is>
          <t>VEHICLE-10</t>
        </is>
      </c>
      <c r="F11" t="inlineStr">
        <is>
          <t>VEH-PLATE-210</t>
        </is>
      </c>
    </row>
    <row r="12">
      <c r="A12" t="inlineStr">
        <is>
          <t>Storage Location #11 (Warehouse Bay 11)</t>
        </is>
      </c>
      <c r="B12" t="inlineStr"/>
      <c r="C12" t="inlineStr"/>
      <c r="D12" t="inlineStr"/>
      <c r="E12" t="inlineStr">
        <is>
          <t>VEHICLE-11</t>
        </is>
      </c>
      <c r="F12" t="inlineStr">
        <is>
          <t>VEH-PLATE-211</t>
        </is>
      </c>
    </row>
    <row r="13">
      <c r="A13" t="inlineStr">
        <is>
          <t>Storage Location #12 (Warehouse Bay 12)</t>
        </is>
      </c>
      <c r="B13" t="inlineStr"/>
      <c r="C13" t="inlineStr"/>
      <c r="D13" t="inlineStr"/>
      <c r="E13" t="inlineStr">
        <is>
          <t>VEHICLE-12</t>
        </is>
      </c>
      <c r="F13" t="inlineStr">
        <is>
          <t>VEH-PLATE-212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2" t="inlineStr">
        <is>
          <t>Equipment_ID</t>
        </is>
      </c>
      <c r="B1" s="2" t="inlineStr">
        <is>
          <t>Item_Description</t>
        </is>
      </c>
      <c r="C1" s="2" t="inlineStr">
        <is>
          <t>Category</t>
        </is>
      </c>
      <c r="D1" s="2" t="inlineStr">
        <is>
          <t>Responsible_Employee (Imported)</t>
        </is>
      </c>
      <c r="E1" s="2" t="inlineStr">
        <is>
          <t>Employee_Sheet_Source</t>
        </is>
      </c>
      <c r="F1" s="2" t="inlineStr">
        <is>
          <t>Current_Storage_Location (1-12)</t>
        </is>
      </c>
      <c r="G1" s="2" t="inlineStr">
        <is>
          <t>Deployment_Status</t>
        </is>
      </c>
      <c r="H1" s="2" t="inlineStr">
        <is>
          <t>Transport_Mode</t>
        </is>
      </c>
      <c r="I1" s="2" t="inlineStr">
        <is>
          <t>Assigned_Container_ID</t>
        </is>
      </c>
      <c r="J1" s="2" t="inlineStr">
        <is>
          <t>Container_Serial_No (Auto)</t>
        </is>
      </c>
      <c r="K1" s="2" t="inlineStr">
        <is>
          <t>Assigned_Vehicle (1-12)</t>
        </is>
      </c>
      <c r="L1" s="2" t="inlineStr">
        <is>
          <t>Vehicle_Number (Auto)</t>
        </is>
      </c>
      <c r="M1" s="2" t="inlineStr">
        <is>
          <t>Travel_Destination (1-6)</t>
        </is>
      </c>
      <c r="N1" s="2" t="inlineStr">
        <is>
          <t>Notes / Condition</t>
        </is>
      </c>
    </row>
    <row r="2">
      <c r="A2" t="inlineStr">
        <is>
          <t>EQ-1001</t>
        </is>
      </c>
      <c r="B2" t="inlineStr">
        <is>
          <t>Pelican Case — RF Spectrum Analyzer</t>
        </is>
      </c>
      <c r="C2" t="inlineStr">
        <is>
          <t>RF / Test Gear</t>
        </is>
      </c>
      <c r="D2" t="inlineStr">
        <is>
          <t>Alex Rivera</t>
        </is>
      </c>
      <c r="E2" t="inlineStr">
        <is>
          <t>Emp_Rivera.xlsx</t>
        </is>
      </c>
      <c r="F2" t="inlineStr">
        <is>
          <t>Storage Location #01 (Warehouse Bay 1)</t>
        </is>
      </c>
      <c r="G2" t="inlineStr">
        <is>
          <t>Traveling</t>
        </is>
      </c>
      <c r="H2" t="inlineStr">
        <is>
          <t>Container</t>
        </is>
      </c>
      <c r="I2" t="inlineStr">
        <is>
          <t>CONTAINER-01</t>
        </is>
      </c>
      <c r="J2">
        <f>IF(I2="","",XLOOKUP(I2,Logistics_Config!$C$2:$C$7,Logistics_Config!$D$2:$D$7,"Pending SN"))</f>
        <v/>
      </c>
      <c r="K2" t="inlineStr"/>
      <c r="L2">
        <f>IF(K2="","",XLOOKUP(K2,Logistics_Config!$E$2:$E$13,Logistics_Config!$F$2:$F$13,"Pending Veh #"))</f>
        <v/>
      </c>
      <c r="M2" t="inlineStr">
        <is>
          <t>Travel Site #01</t>
        </is>
      </c>
      <c r="N2" t="inlineStr">
        <is>
          <t>Calibrated Oct 2026</t>
        </is>
      </c>
    </row>
    <row r="3">
      <c r="A3" t="inlineStr">
        <is>
          <t>EQ-1002</t>
        </is>
      </c>
      <c r="B3" t="inlineStr">
        <is>
          <t>Honda EU2200i Field Generator</t>
        </is>
      </c>
      <c r="C3" t="inlineStr">
        <is>
          <t>Power Systems</t>
        </is>
      </c>
      <c r="D3" t="inlineStr">
        <is>
          <t>Alex Rivera</t>
        </is>
      </c>
      <c r="E3" t="inlineStr">
        <is>
          <t>Emp_Rivera.xlsx</t>
        </is>
      </c>
      <c r="F3" t="inlineStr">
        <is>
          <t>Storage Location #03 (Warehouse Bay 3)</t>
        </is>
      </c>
      <c r="G3" t="inlineStr">
        <is>
          <t>Traveling</t>
        </is>
      </c>
      <c r="H3" t="inlineStr">
        <is>
          <t>Vehicle</t>
        </is>
      </c>
      <c r="I3" t="inlineStr"/>
      <c r="J3">
        <f>IF(I3="","",XLOOKUP(I3,Logistics_Config!$C$2:$C$7,Logistics_Config!$D$2:$D$7,"Pending SN"))</f>
        <v/>
      </c>
      <c r="K3" t="inlineStr">
        <is>
          <t>VEHICLE-04</t>
        </is>
      </c>
      <c r="L3">
        <f>IF(K3="","",XLOOKUP(K3,Logistics_Config!$E$2:$E$13,Logistics_Config!$F$2:$F$13,"Pending Veh #"))</f>
        <v/>
      </c>
      <c r="M3" t="inlineStr">
        <is>
          <t>Travel Site #02</t>
        </is>
      </c>
      <c r="N3" t="inlineStr">
        <is>
          <t>Full maintenance check done</t>
        </is>
      </c>
    </row>
    <row r="4">
      <c r="A4" t="inlineStr">
        <is>
          <t>EQ-1003</t>
        </is>
      </c>
      <c r="B4" t="inlineStr">
        <is>
          <t>Fluke 87V Industrial Multimeter Kit</t>
        </is>
      </c>
      <c r="C4" t="inlineStr">
        <is>
          <t>Electrical</t>
        </is>
      </c>
      <c r="D4" t="inlineStr">
        <is>
          <t>Maria Chen</t>
        </is>
      </c>
      <c r="E4" t="inlineStr">
        <is>
          <t>Emp_Chen.xlsx</t>
        </is>
      </c>
      <c r="F4" t="inlineStr">
        <is>
          <t>Storage Location #02 (Warehouse Bay 2)</t>
        </is>
      </c>
      <c r="G4" t="inlineStr">
        <is>
          <t>Staying at Company</t>
        </is>
      </c>
      <c r="H4" t="inlineStr">
        <is>
          <t>None (On-Site)</t>
        </is>
      </c>
      <c r="I4" t="inlineStr"/>
      <c r="J4">
        <f>IF(I4="","",XLOOKUP(I4,Logistics_Config!$C$2:$C$7,Logistics_Config!$D$2:$D$7,"Pending SN"))</f>
        <v/>
      </c>
      <c r="K4" t="inlineStr"/>
      <c r="L4">
        <f>IF(K4="","",XLOOKUP(K4,Logistics_Config!$E$2:$E$13,Logistics_Config!$F$2:$F$13,"Pending Veh #"))</f>
        <v/>
      </c>
      <c r="M4" t="inlineStr"/>
      <c r="N4" t="inlineStr">
        <is>
          <t>Remains in Bay 2</t>
        </is>
      </c>
    </row>
    <row r="5">
      <c r="A5" t="inlineStr">
        <is>
          <t>EQ-1004</t>
        </is>
      </c>
      <c r="B5" t="inlineStr">
        <is>
          <t>Starlink High-Performance Field Terminal</t>
        </is>
      </c>
      <c r="C5" t="inlineStr">
        <is>
          <t>Comms / Sat</t>
        </is>
      </c>
      <c r="D5" t="inlineStr">
        <is>
          <t>Maria Chen</t>
        </is>
      </c>
      <c r="E5" t="inlineStr">
        <is>
          <t>Emp_Chen.xlsx</t>
        </is>
      </c>
      <c r="F5" t="inlineStr">
        <is>
          <t>Storage Location #05 (Warehouse Bay 5)</t>
        </is>
      </c>
      <c r="G5" t="inlineStr">
        <is>
          <t>Traveling</t>
        </is>
      </c>
      <c r="H5" t="inlineStr">
        <is>
          <t>Container</t>
        </is>
      </c>
      <c r="I5" t="inlineStr">
        <is>
          <t>CONTAINER-02</t>
        </is>
      </c>
      <c r="J5">
        <f>IF(I5="","",XLOOKUP(I5,Logistics_Config!$C$2:$C$7,Logistics_Config!$D$2:$D$7,"Pending SN"))</f>
        <v/>
      </c>
      <c r="K5" t="inlineStr"/>
      <c r="L5">
        <f>IF(K5="","",XLOOKUP(K5,Logistics_Config!$E$2:$E$13,Logistics_Config!$F$2:$F$13,"Pending Veh #"))</f>
        <v/>
      </c>
      <c r="M5" t="inlineStr">
        <is>
          <t>Travel Site #03</t>
        </is>
      </c>
      <c r="N5" t="inlineStr">
        <is>
          <t>Packed in foam crate #4</t>
        </is>
      </c>
    </row>
    <row r="6">
      <c r="A6" t="inlineStr">
        <is>
          <t>EQ-1005</t>
        </is>
      </c>
      <c r="B6" t="inlineStr">
        <is>
          <t>Hydraulic Cable Crimper &amp; Die Set</t>
        </is>
      </c>
      <c r="C6" t="inlineStr">
        <is>
          <t>Tooling</t>
        </is>
      </c>
      <c r="D6" t="inlineStr">
        <is>
          <t>Devon Brooks</t>
        </is>
      </c>
      <c r="E6" t="inlineStr">
        <is>
          <t>Emp_Brooks.xlsx</t>
        </is>
      </c>
      <c r="F6" t="inlineStr">
        <is>
          <t>Storage Location #08 (Warehouse Bay 8)</t>
        </is>
      </c>
      <c r="G6" t="inlineStr">
        <is>
          <t>Traveling</t>
        </is>
      </c>
      <c r="H6" t="inlineStr">
        <is>
          <t>Vehicle</t>
        </is>
      </c>
      <c r="I6" t="inlineStr"/>
      <c r="J6">
        <f>IF(I6="","",XLOOKUP(I6,Logistics_Config!$C$2:$C$7,Logistics_Config!$D$2:$D$7,"Pending SN"))</f>
        <v/>
      </c>
      <c r="K6" t="inlineStr">
        <is>
          <t>VEHICLE-09</t>
        </is>
      </c>
      <c r="L6">
        <f>IF(K6="","",XLOOKUP(K6,Logistics_Config!$E$2:$E$13,Logistics_Config!$F$2:$F$13,"Pending Veh #"))</f>
        <v/>
      </c>
      <c r="M6" t="inlineStr">
        <is>
          <t>Travel Site #05</t>
        </is>
      </c>
      <c r="N6" t="inlineStr">
        <is>
          <t>Assigned to Truck 9</t>
        </is>
      </c>
    </row>
    <row r="7">
      <c r="A7" t="inlineStr">
        <is>
          <t>EQ-1006</t>
        </is>
      </c>
      <c r="B7" t="inlineStr">
        <is>
          <t>Bench Oscilloscope Tektronix TBS2000B</t>
        </is>
      </c>
      <c r="C7" t="inlineStr">
        <is>
          <t>Lab Bench</t>
        </is>
      </c>
      <c r="D7" t="inlineStr">
        <is>
          <t>Devon Brooks</t>
        </is>
      </c>
      <c r="E7" t="inlineStr">
        <is>
          <t>Emp_Brooks.xlsx</t>
        </is>
      </c>
      <c r="F7" t="inlineStr">
        <is>
          <t>Storage Location #11 (Warehouse Bay 11)</t>
        </is>
      </c>
      <c r="G7" t="inlineStr">
        <is>
          <t>Staying at Company</t>
        </is>
      </c>
      <c r="H7" t="inlineStr">
        <is>
          <t>None (On-Site)</t>
        </is>
      </c>
      <c r="I7" t="inlineStr"/>
      <c r="J7">
        <f>IF(I7="","",XLOOKUP(I7,Logistics_Config!$C$2:$C$7,Logistics_Config!$D$2:$D$7,"Pending SN"))</f>
        <v/>
      </c>
      <c r="K7" t="inlineStr"/>
      <c r="L7">
        <f>IF(K7="","",XLOOKUP(K7,Logistics_Config!$E$2:$E$13,Logistics_Config!$F$2:$F$13,"Pending Veh #"))</f>
        <v/>
      </c>
      <c r="M7" t="inlineStr"/>
      <c r="N7" t="inlineStr">
        <is>
          <t>Do not ship</t>
        </is>
      </c>
    </row>
  </sheetData>
  <dataValidations count="6">
    <dataValidation sqref="F2:F200" showDropDown="0" showInputMessage="0" showErrorMessage="0" allowBlank="1" type="list">
      <formula1>=Logistics_Config!$A$2:$A$13</formula1>
    </dataValidation>
    <dataValidation sqref="G2:G200" showDropDown="0" showInputMessage="0" showErrorMessage="0" allowBlank="1" type="list">
      <formula1>"Staying at Company,Traveling"</formula1>
    </dataValidation>
    <dataValidation sqref="H2:H200" showDropDown="0" showInputMessage="0" showErrorMessage="0" allowBlank="1" type="list">
      <formula1>"None (On-Site),Container,Vehicle"</formula1>
    </dataValidation>
    <dataValidation sqref="I2:I200" showDropDown="0" showInputMessage="0" showErrorMessage="0" allowBlank="1" type="list">
      <formula1>=Logistics_Config!$C$2:$C$7</formula1>
    </dataValidation>
    <dataValidation sqref="K2:K200" showDropDown="0" showInputMessage="0" showErrorMessage="0" allowBlank="1" type="list">
      <formula1>=Logistics_Config!$E$2:$E$13</formula1>
    </dataValidation>
    <dataValidation sqref="M2:M200" showDropDown="0" showInputMessage="0" showErrorMessage="0" allowBlank="1" type="list">
      <formula1>=Logistics_Config!$B$2:$B$7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s="3" t="inlineStr">
        <is>
          <t>Transport Unit</t>
        </is>
      </c>
      <c r="B1" s="3" t="inlineStr">
        <is>
          <t>Serial / Vehicle Number</t>
        </is>
      </c>
      <c r="C1" s="3" t="inlineStr">
        <is>
          <t>Item Count</t>
        </is>
      </c>
      <c r="D1" s="3" t="inlineStr">
        <is>
          <t>Assigned Travel Destination</t>
        </is>
      </c>
    </row>
    <row r="2">
      <c r="A2" t="inlineStr">
        <is>
          <t>CONTAINER-01</t>
        </is>
      </c>
      <c r="B2">
        <f>XLOOKUP("CONTAINER-01",Logistics_Config!$C$2:$C$7,Logistics_Config!$D$2:$D$7,"")</f>
        <v/>
      </c>
      <c r="C2">
        <f>COUNTIF(Master_Equipment_Tracker!$I$2:$I$200,"CONTAINER-01")</f>
        <v/>
      </c>
      <c r="D2" t="inlineStr">
        <is>
          <t>Travel Site #01</t>
        </is>
      </c>
    </row>
    <row r="3">
      <c r="A3" t="inlineStr">
        <is>
          <t>CONTAINER-02</t>
        </is>
      </c>
      <c r="B3">
        <f>XLOOKUP("CONTAINER-02",Logistics_Config!$C$2:$C$7,Logistics_Config!$D$2:$D$7,"")</f>
        <v/>
      </c>
      <c r="C3">
        <f>COUNTIF(Master_Equipment_Tracker!$I$2:$I$200,"CONTAINER-02")</f>
        <v/>
      </c>
      <c r="D3" t="inlineStr">
        <is>
          <t>Travel Site #02</t>
        </is>
      </c>
    </row>
    <row r="4">
      <c r="A4" t="inlineStr">
        <is>
          <t>CONTAINER-03</t>
        </is>
      </c>
      <c r="B4">
        <f>XLOOKUP("CONTAINER-03",Logistics_Config!$C$2:$C$7,Logistics_Config!$D$2:$D$7,"")</f>
        <v/>
      </c>
      <c r="C4">
        <f>COUNTIF(Master_Equipment_Tracker!$I$2:$I$200,"CONTAINER-03")</f>
        <v/>
      </c>
      <c r="D4" t="inlineStr">
        <is>
          <t>Travel Site #03</t>
        </is>
      </c>
    </row>
    <row r="5">
      <c r="A5" t="inlineStr">
        <is>
          <t>CONTAINER-04</t>
        </is>
      </c>
      <c r="B5">
        <f>XLOOKUP("CONTAINER-04",Logistics_Config!$C$2:$C$7,Logistics_Config!$D$2:$D$7,"")</f>
        <v/>
      </c>
      <c r="C5">
        <f>COUNTIF(Master_Equipment_Tracker!$I$2:$I$200,"CONTAINER-04")</f>
        <v/>
      </c>
      <c r="D5" t="inlineStr">
        <is>
          <t>Travel Site #04</t>
        </is>
      </c>
    </row>
    <row r="6">
      <c r="A6" t="inlineStr">
        <is>
          <t>CONTAINER-05</t>
        </is>
      </c>
      <c r="B6">
        <f>XLOOKUP("CONTAINER-05",Logistics_Config!$C$2:$C$7,Logistics_Config!$D$2:$D$7,"")</f>
        <v/>
      </c>
      <c r="C6">
        <f>COUNTIF(Master_Equipment_Tracker!$I$2:$I$200,"CONTAINER-05")</f>
        <v/>
      </c>
      <c r="D6" t="inlineStr">
        <is>
          <t>Travel Site #05</t>
        </is>
      </c>
    </row>
    <row r="7">
      <c r="A7" t="inlineStr">
        <is>
          <t>CONTAINER-06</t>
        </is>
      </c>
      <c r="B7">
        <f>XLOOKUP("CONTAINER-06",Logistics_Config!$C$2:$C$7,Logistics_Config!$D$2:$D$7,"")</f>
        <v/>
      </c>
      <c r="C7">
        <f>COUNTIF(Master_Equipment_Tracker!$I$2:$I$200,"CONTAINER-06")</f>
        <v/>
      </c>
      <c r="D7" t="inlineStr">
        <is>
          <t>Travel Site #06</t>
        </is>
      </c>
    </row>
    <row r="8">
      <c r="A8" t="inlineStr">
        <is>
          <t>VEHICLE-01</t>
        </is>
      </c>
      <c r="B8">
        <f>XLOOKUP("VEHICLE-01",Logistics_Config!$E$2:$E$13,Logistics_Config!$F$2:$F$13,"")</f>
        <v/>
      </c>
      <c r="C8">
        <f>COUNTIF(Master_Equipment_Tracker!$K$2:$K$200,"VEHICLE-01")</f>
        <v/>
      </c>
      <c r="D8" t="inlineStr">
        <is>
          <t>Dynamic by Route</t>
        </is>
      </c>
    </row>
    <row r="9">
      <c r="A9" t="inlineStr">
        <is>
          <t>VEHICLE-02</t>
        </is>
      </c>
      <c r="B9">
        <f>XLOOKUP("VEHICLE-02",Logistics_Config!$E$2:$E$13,Logistics_Config!$F$2:$F$13,"")</f>
        <v/>
      </c>
      <c r="C9">
        <f>COUNTIF(Master_Equipment_Tracker!$K$2:$K$200,"VEHICLE-02")</f>
        <v/>
      </c>
      <c r="D9" t="inlineStr">
        <is>
          <t>Dynamic by Route</t>
        </is>
      </c>
    </row>
    <row r="10">
      <c r="A10" t="inlineStr">
        <is>
          <t>VEHICLE-03</t>
        </is>
      </c>
      <c r="B10">
        <f>XLOOKUP("VEHICLE-03",Logistics_Config!$E$2:$E$13,Logistics_Config!$F$2:$F$13,"")</f>
        <v/>
      </c>
      <c r="C10">
        <f>COUNTIF(Master_Equipment_Tracker!$K$2:$K$200,"VEHICLE-03")</f>
        <v/>
      </c>
      <c r="D10" t="inlineStr">
        <is>
          <t>Dynamic by Route</t>
        </is>
      </c>
    </row>
    <row r="11">
      <c r="A11" t="inlineStr">
        <is>
          <t>VEHICLE-04</t>
        </is>
      </c>
      <c r="B11">
        <f>XLOOKUP("VEHICLE-04",Logistics_Config!$E$2:$E$13,Logistics_Config!$F$2:$F$13,"")</f>
        <v/>
      </c>
      <c r="C11">
        <f>COUNTIF(Master_Equipment_Tracker!$K$2:$K$200,"VEHICLE-04")</f>
        <v/>
      </c>
      <c r="D11" t="inlineStr">
        <is>
          <t>Dynamic by Route</t>
        </is>
      </c>
    </row>
    <row r="12">
      <c r="A12" t="inlineStr">
        <is>
          <t>VEHICLE-05</t>
        </is>
      </c>
      <c r="B12">
        <f>XLOOKUP("VEHICLE-05",Logistics_Config!$E$2:$E$13,Logistics_Config!$F$2:$F$13,"")</f>
        <v/>
      </c>
      <c r="C12">
        <f>COUNTIF(Master_Equipment_Tracker!$K$2:$K$200,"VEHICLE-05")</f>
        <v/>
      </c>
      <c r="D12" t="inlineStr">
        <is>
          <t>Dynamic by Route</t>
        </is>
      </c>
    </row>
    <row r="13">
      <c r="A13" t="inlineStr">
        <is>
          <t>VEHICLE-06</t>
        </is>
      </c>
      <c r="B13">
        <f>XLOOKUP("VEHICLE-06",Logistics_Config!$E$2:$E$13,Logistics_Config!$F$2:$F$13,"")</f>
        <v/>
      </c>
      <c r="C13">
        <f>COUNTIF(Master_Equipment_Tracker!$K$2:$K$200,"VEHICLE-06")</f>
        <v/>
      </c>
      <c r="D13" t="inlineStr">
        <is>
          <t>Dynamic by Route</t>
        </is>
      </c>
    </row>
    <row r="14">
      <c r="A14" t="inlineStr">
        <is>
          <t>VEHICLE-07</t>
        </is>
      </c>
      <c r="B14">
        <f>XLOOKUP("VEHICLE-07",Logistics_Config!$E$2:$E$13,Logistics_Config!$F$2:$F$13,"")</f>
        <v/>
      </c>
      <c r="C14">
        <f>COUNTIF(Master_Equipment_Tracker!$K$2:$K$200,"VEHICLE-07")</f>
        <v/>
      </c>
      <c r="D14" t="inlineStr">
        <is>
          <t>Dynamic by Route</t>
        </is>
      </c>
    </row>
    <row r="15">
      <c r="A15" t="inlineStr">
        <is>
          <t>VEHICLE-08</t>
        </is>
      </c>
      <c r="B15">
        <f>XLOOKUP("VEHICLE-08",Logistics_Config!$E$2:$E$13,Logistics_Config!$F$2:$F$13,"")</f>
        <v/>
      </c>
      <c r="C15">
        <f>COUNTIF(Master_Equipment_Tracker!$K$2:$K$200,"VEHICLE-08")</f>
        <v/>
      </c>
      <c r="D15" t="inlineStr">
        <is>
          <t>Dynamic by Route</t>
        </is>
      </c>
    </row>
    <row r="16">
      <c r="A16" t="inlineStr">
        <is>
          <t>VEHICLE-09</t>
        </is>
      </c>
      <c r="B16">
        <f>XLOOKUP("VEHICLE-09",Logistics_Config!$E$2:$E$13,Logistics_Config!$F$2:$F$13,"")</f>
        <v/>
      </c>
      <c r="C16">
        <f>COUNTIF(Master_Equipment_Tracker!$K$2:$K$200,"VEHICLE-09")</f>
        <v/>
      </c>
      <c r="D16" t="inlineStr">
        <is>
          <t>Dynamic by Route</t>
        </is>
      </c>
    </row>
    <row r="17">
      <c r="A17" t="inlineStr">
        <is>
          <t>VEHICLE-10</t>
        </is>
      </c>
      <c r="B17">
        <f>XLOOKUP("VEHICLE-10",Logistics_Config!$E$2:$E$13,Logistics_Config!$F$2:$F$13,"")</f>
        <v/>
      </c>
      <c r="C17">
        <f>COUNTIF(Master_Equipment_Tracker!$K$2:$K$200,"VEHICLE-10")</f>
        <v/>
      </c>
      <c r="D17" t="inlineStr">
        <is>
          <t>Dynamic by Route</t>
        </is>
      </c>
    </row>
    <row r="18">
      <c r="A18" t="inlineStr">
        <is>
          <t>VEHICLE-11</t>
        </is>
      </c>
      <c r="B18">
        <f>XLOOKUP("VEHICLE-11",Logistics_Config!$E$2:$E$13,Logistics_Config!$F$2:$F$13,"")</f>
        <v/>
      </c>
      <c r="C18">
        <f>COUNTIF(Master_Equipment_Tracker!$K$2:$K$200,"VEHICLE-11")</f>
        <v/>
      </c>
      <c r="D18" t="inlineStr">
        <is>
          <t>Dynamic by Route</t>
        </is>
      </c>
    </row>
    <row r="19">
      <c r="A19" t="inlineStr">
        <is>
          <t>VEHICLE-12</t>
        </is>
      </c>
      <c r="B19">
        <f>XLOOKUP("VEHICLE-12",Logistics_Config!$E$2:$E$13,Logistics_Config!$F$2:$F$13,"")</f>
        <v/>
      </c>
      <c r="C19">
        <f>COUNTIF(Master_Equipment_Tracker!$K$2:$K$200,"VEHICLE-12")</f>
        <v/>
      </c>
      <c r="D19" t="inlineStr">
        <is>
          <t>Dynamic by Route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2026-10-30T17:13:05Z</dcterms:created>
  <dcterms:modified xmlns:dcterms="http://purl.org/dc/terms/" xmlns:xsi="http://www.w3.org/2001/XMLSchema-instance" xsi:type="dcterms:W3CDTF">2026-10-30T17:13:05Z</dcterms:modified>
</cp:coreProperties>
</file>